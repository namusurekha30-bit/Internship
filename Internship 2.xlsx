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BA SEM 1\Internship\"/>
    </mc:Choice>
  </mc:AlternateContent>
  <xr:revisionPtr revIDLastSave="0" documentId="8_{1416CF69-B1BB-48B5-91C7-5B5986213FBD}" xr6:coauthVersionLast="36" xr6:coauthVersionMax="36" xr10:uidLastSave="{00000000-0000-0000-0000-000000000000}"/>
  <bookViews>
    <workbookView xWindow="0" yWindow="0" windowWidth="19200" windowHeight="6320" activeTab="1" xr2:uid="{3EAF8F49-8F2D-4497-A59B-5B2DED614C22}"/>
  </bookViews>
  <sheets>
    <sheet name="PIVOT TABLES" sheetId="1" r:id="rId1"/>
    <sheet name="PIVOT CHARTS " sheetId="2" r:id="rId2"/>
  </sheets>
  <definedNames>
    <definedName name="DATA">'PIVOT TABLES'!$A$1:$J$11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<sst xmlns="http://schemas.openxmlformats.org/spreadsheetml/2006/main" count="115" uniqueCount="35">
  <si>
    <t>ORDER ID</t>
  </si>
  <si>
    <t>ORDER DATE</t>
  </si>
  <si>
    <t>REGION</t>
  </si>
  <si>
    <t>PRODUCT</t>
  </si>
  <si>
    <t>CATEGORY</t>
  </si>
  <si>
    <t>QUANTITY</t>
  </si>
  <si>
    <t>PROFIT</t>
  </si>
  <si>
    <t>EAST</t>
  </si>
  <si>
    <t>Wireless Noise-Canceling Headphones</t>
  </si>
  <si>
    <t>Electronics</t>
  </si>
  <si>
    <t xml:space="preserve">WEST </t>
  </si>
  <si>
    <t>4K Smart TV - 55 inch</t>
  </si>
  <si>
    <t>SOUTH</t>
  </si>
  <si>
    <t>Premium Ceramic Cookware Set</t>
  </si>
  <si>
    <t>Home &amp; Kitchen</t>
  </si>
  <si>
    <t>NORTH</t>
  </si>
  <si>
    <t>Air Fryer &amp; Toaster Oven</t>
  </si>
  <si>
    <t>WEST</t>
  </si>
  <si>
    <t>Ergonomic Office Chair</t>
  </si>
  <si>
    <t>Office Supplies</t>
  </si>
  <si>
    <t>Stainless Steel Water Bottle</t>
  </si>
  <si>
    <t>Sports &amp; Outdoors</t>
  </si>
  <si>
    <t>Waterproof Hiking Backpack</t>
  </si>
  <si>
    <t>Desk Lamp</t>
  </si>
  <si>
    <t>File Folders</t>
  </si>
  <si>
    <t>Notebook</t>
  </si>
  <si>
    <t>PROFIT MARGIN</t>
  </si>
  <si>
    <t>SALES CATEGORY</t>
  </si>
  <si>
    <t xml:space="preserve">SALES </t>
  </si>
  <si>
    <t>Row Labels</t>
  </si>
  <si>
    <t>Grand Total</t>
  </si>
  <si>
    <t xml:space="preserve">Sum of SALES </t>
  </si>
  <si>
    <t>Sum of PROFIT</t>
  </si>
  <si>
    <t>Average of PROFIT MARGIN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</si>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</sst>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applyFont="1" applyBorder="1"/>
    <xf numFmtId="0" fontId="1" fillId="0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2.xlsx]PIVOT CHARTS 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CHARTS 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CHARTS '!$B$3:$B$13</c:f>
              <c:strCache>
                <c:ptCount val="10"/>
                <c:pt idx="0">
                  <c:v>4K Smart TV - 55 inch</c:v>
                </c:pt>
                <c:pt idx="1">
                  <c:v>Air Fryer &amp; Toaster Oven</c:v>
                </c:pt>
                <c:pt idx="2">
                  <c:v>Desk Lamp</c:v>
                </c:pt>
                <c:pt idx="3">
                  <c:v>Ergonomic Office Chair</c:v>
                </c:pt>
                <c:pt idx="4">
                  <c:v>File Folders</c:v>
                </c:pt>
                <c:pt idx="5">
                  <c:v>Notebook</c:v>
                </c:pt>
                <c:pt idx="6">
                  <c:v>Premium Ceramic Cookware Set</c:v>
                </c:pt>
                <c:pt idx="7">
                  <c:v>Stainless Steel Water Bottle</c:v>
                </c:pt>
                <c:pt idx="8">
                  <c:v>Waterproof Hiking Backpack</c:v>
                </c:pt>
                <c:pt idx="9">
                  <c:v>Wireless Noise-Canceling Headphones</c:v>
                </c:pt>
              </c:strCache>
            </c:strRef>
          </c:cat>
          <c:val>
            <c:numRef>
              <c:f>'PIVOT CHARTS '!$C$3:$C$13</c:f>
              <c:numCache>
                <c:formatCode>General</c:formatCode>
                <c:ptCount val="10"/>
                <c:pt idx="0">
                  <c:v>65000</c:v>
                </c:pt>
                <c:pt idx="1">
                  <c:v>7000</c:v>
                </c:pt>
                <c:pt idx="2">
                  <c:v>1000</c:v>
                </c:pt>
                <c:pt idx="3">
                  <c:v>10000</c:v>
                </c:pt>
                <c:pt idx="4">
                  <c:v>40</c:v>
                </c:pt>
                <c:pt idx="5">
                  <c:v>50</c:v>
                </c:pt>
                <c:pt idx="6">
                  <c:v>5000</c:v>
                </c:pt>
                <c:pt idx="7">
                  <c:v>500</c:v>
                </c:pt>
                <c:pt idx="8">
                  <c:v>700</c:v>
                </c:pt>
                <c:pt idx="9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3-468D-B701-264EA683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141536"/>
        <c:axId val="532144488"/>
      </c:lineChart>
      <c:catAx>
        <c:axId val="5321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44488"/>
        <c:crosses val="autoZero"/>
        <c:auto val="1"/>
        <c:lblAlgn val="ctr"/>
        <c:lblOffset val="100"/>
        <c:noMultiLvlLbl val="0"/>
      </c:catAx>
      <c:valAx>
        <c:axId val="5321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2.xlsx]PIVOT CHARTS 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 '!$C$16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 '!$B$17:$B$22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WEST </c:v>
                </c:pt>
              </c:strCache>
            </c:strRef>
          </c:cat>
          <c:val>
            <c:numRef>
              <c:f>'PIVOT CHARTS '!$C$17:$C$22</c:f>
              <c:numCache>
                <c:formatCode>General</c:formatCode>
                <c:ptCount val="5"/>
                <c:pt idx="0">
                  <c:v>11600</c:v>
                </c:pt>
                <c:pt idx="1">
                  <c:v>17820</c:v>
                </c:pt>
                <c:pt idx="2">
                  <c:v>20000</c:v>
                </c:pt>
                <c:pt idx="3">
                  <c:v>40000</c:v>
                </c:pt>
                <c:pt idx="4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7-4797-9AD7-8E3B41E45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654144"/>
        <c:axId val="319650536"/>
      </c:barChart>
      <c:catAx>
        <c:axId val="31965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50536"/>
        <c:crosses val="autoZero"/>
        <c:auto val="1"/>
        <c:lblAlgn val="ctr"/>
        <c:lblOffset val="100"/>
        <c:noMultiLvlLbl val="0"/>
      </c:catAx>
      <c:valAx>
        <c:axId val="31965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2.xlsx]PIVOT CHARTS 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 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 '!$L$3:$L$13</c:f>
              <c:strCache>
                <c:ptCount val="10"/>
                <c:pt idx="0">
                  <c:v>4K Smart TV - 55 inch</c:v>
                </c:pt>
                <c:pt idx="1">
                  <c:v>Air Fryer &amp; Toaster Oven</c:v>
                </c:pt>
                <c:pt idx="2">
                  <c:v>Desk Lamp</c:v>
                </c:pt>
                <c:pt idx="3">
                  <c:v>Ergonomic Office Chair</c:v>
                </c:pt>
                <c:pt idx="4">
                  <c:v>File Folders</c:v>
                </c:pt>
                <c:pt idx="5">
                  <c:v>Notebook</c:v>
                </c:pt>
                <c:pt idx="6">
                  <c:v>Premium Ceramic Cookware Set</c:v>
                </c:pt>
                <c:pt idx="7">
                  <c:v>Stainless Steel Water Bottle</c:v>
                </c:pt>
                <c:pt idx="8">
                  <c:v>Waterproof Hiking Backpack</c:v>
                </c:pt>
                <c:pt idx="9">
                  <c:v>Wireless Noise-Canceling Headphones</c:v>
                </c:pt>
              </c:strCache>
            </c:strRef>
          </c:cat>
          <c:val>
            <c:numRef>
              <c:f>'PIVOT CHARTS '!$M$3:$M$13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1-48D9-A478-1B32FBEF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106848"/>
        <c:axId val="400107504"/>
      </c:barChart>
      <c:catAx>
        <c:axId val="40010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07504"/>
        <c:crosses val="autoZero"/>
        <c:auto val="1"/>
        <c:lblAlgn val="ctr"/>
        <c:lblOffset val="100"/>
        <c:noMultiLvlLbl val="0"/>
      </c:catAx>
      <c:valAx>
        <c:axId val="40010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0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158749</xdr:colOff>
      <xdr:row>1</xdr:row>
      <xdr:rowOff>3175</xdr:rowOff>
    </xdr:from>
    <xdr:to>
      <xdr:col>9</xdr:col>
      <xdr:colOff>333374</xdr:colOff>
      <xdr:row>12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78337-67EA-4F8D-BA39-BE6E9757B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234949</xdr:colOff>
      <xdr:row>15</xdr:row>
      <xdr:rowOff>22225</xdr:rowOff>
    </xdr:from>
    <xdr:to>
      <xdr:col>9</xdr:col>
      <xdr:colOff>219074</xdr:colOff>
      <xdr:row>26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6BF59-407D-40B4-A8DB-B6558ACBB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260350</xdr:colOff>
      <xdr:row>0</xdr:row>
      <xdr:rowOff>130175</xdr:rowOff>
    </xdr:from>
    <xdr:to>
      <xdr:col>20</xdr:col>
      <xdr:colOff>422275</xdr:colOff>
      <xdr:row>12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4745CC-BB6F-4187-997C-4DE56CBC8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raju Nāmu" refreshedDate="46180.855297453701" createdVersion="6" refreshedVersion="6" minRefreshableVersion="3" recordCount="10" xr:uid="{A890C7D7-2047-468C-B75E-AB937BA55588}">
  <cacheSource type="worksheet">
    <worksheetSource name="DATA"/>
  </cacheSource>
  <cacheFields count="10">
    <cacheField name="ORDER ID" numFmtId="0">
      <sharedItems containsSemiMixedTypes="0" containsString="0" containsNumber="1" containsInteger="1" minValue="101" maxValue="110"/>
    </cacheField>
    <cacheField name="ORDER DATE" numFmtId="14">
      <sharedItems containsSemiMixedTypes="0" containsNonDate="0" containsDate="1" containsString="0" minDate="2011-01-01T00:00:00" maxDate="2011-01-11T00:00:00"/>
    </cacheField>
    <cacheField name="REGION" numFmtId="0">
      <sharedItems count="5">
        <s v="EAST"/>
        <s v="WEST "/>
        <s v="SOUTH"/>
        <s v="NORTH"/>
        <s v="WEST"/>
      </sharedItems>
    </cacheField>
    <cacheField name="PRODUCT" numFmtId="0">
      <sharedItems count="10">
        <s v="Wireless Noise-Canceling Headphones"/>
        <s v="4K Smart TV - 55 inch"/>
        <s v="Premium Ceramic Cookware Set"/>
        <s v="Air Fryer &amp; Toaster Oven"/>
        <s v="Ergonomic Office Chair"/>
        <s v="Stainless Steel Water Bottle"/>
        <s v="Waterproof Hiking Backpack"/>
        <s v="Desk Lamp"/>
        <s v="File Folders"/>
        <s v="Notebook"/>
      </sharedItems>
    </cacheField>
    <cacheField name="CATEGORY" numFmtId="0">
      <sharedItems count="4">
        <s v="Electronics"/>
        <s v="Home &amp; Kitchen"/>
        <s v="Office Supplies"/>
        <s v="Sports &amp; Outdoors"/>
      </sharedItems>
    </cacheField>
    <cacheField name="QUANTITY" numFmtId="0">
      <sharedItems containsSemiMixedTypes="0" containsString="0" containsNumber="1" containsInteger="1" minValue="1" maxValue="9"/>
    </cacheField>
    <cacheField name="SALES " numFmtId="3">
      <sharedItems containsSemiMixedTypes="0" containsString="0" containsNumber="1" containsInteger="1" minValue="40" maxValue="65000"/>
    </cacheField>
    <cacheField name="PROFIT" numFmtId="0">
      <sharedItems containsSemiMixedTypes="0" containsString="0" containsNumber="1" containsInteger="1" minValue="300" maxValue="65000"/>
    </cacheField>
    <cacheField name="PROFIT MARGIN" numFmtId="0">
      <sharedItems containsSemiMixedTypes="0" containsString="0" containsNumber="1" containsInteger="1" minValue="1" maxValue="9"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d v="2011-01-01T00:00:00"/>
    <x v="0"/>
    <x v="0"/>
    <x v="0"/>
    <n v="2"/>
    <n v="2500"/>
    <n v="5000"/>
    <n v="2"/>
    <s v="MEDIUM"/>
  </r>
  <r>
    <n v="102"/>
    <d v="2011-01-02T00:00:00"/>
    <x v="1"/>
    <x v="1"/>
    <x v="0"/>
    <n v="1"/>
    <n v="65000"/>
    <n v="65000"/>
    <n v="1"/>
    <s v="HIGH"/>
  </r>
  <r>
    <n v="103"/>
    <d v="2011-01-03T00:00:00"/>
    <x v="2"/>
    <x v="2"/>
    <x v="1"/>
    <n v="3"/>
    <n v="5000"/>
    <n v="15000"/>
    <n v="3"/>
    <s v="MEDIUM"/>
  </r>
  <r>
    <n v="104"/>
    <d v="2011-01-04T00:00:00"/>
    <x v="3"/>
    <x v="3"/>
    <x v="1"/>
    <n v="2"/>
    <n v="7000"/>
    <n v="14000"/>
    <n v="2"/>
    <s v="HIGH"/>
  </r>
  <r>
    <n v="105"/>
    <d v="2011-01-05T00:00:00"/>
    <x v="4"/>
    <x v="4"/>
    <x v="2"/>
    <n v="4"/>
    <n v="10000"/>
    <n v="40000"/>
    <n v="4"/>
    <s v="HIGH"/>
  </r>
  <r>
    <n v="106"/>
    <d v="2011-01-06T00:00:00"/>
    <x v="3"/>
    <x v="5"/>
    <x v="3"/>
    <n v="7"/>
    <n v="500"/>
    <n v="3500"/>
    <n v="7"/>
    <s v="MEDIUM"/>
  </r>
  <r>
    <n v="107"/>
    <d v="2011-01-07T00:00:00"/>
    <x v="0"/>
    <x v="6"/>
    <x v="3"/>
    <n v="9"/>
    <n v="700"/>
    <n v="6300"/>
    <n v="9"/>
    <s v="MEDIUM"/>
  </r>
  <r>
    <n v="108"/>
    <d v="2011-01-08T00:00:00"/>
    <x v="2"/>
    <x v="7"/>
    <x v="1"/>
    <n v="5"/>
    <n v="1000"/>
    <n v="5000"/>
    <n v="5"/>
    <s v="MEDIUM"/>
  </r>
  <r>
    <n v="109"/>
    <d v="2011-01-09T00:00:00"/>
    <x v="3"/>
    <x v="8"/>
    <x v="2"/>
    <n v="8"/>
    <n v="40"/>
    <n v="320"/>
    <n v="8"/>
    <s v="MEDIUM"/>
  </r>
  <r>
    <n v="110"/>
    <d v="2011-01-10T00:00:00"/>
    <x v="0"/>
    <x v="9"/>
    <x v="2"/>
    <n v="6"/>
    <n v="50"/>
    <n v="300"/>
    <n v="6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57B9D-775E-4686-9380-49A2E38AEEE4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9:L24" firstHeaderRow="1" firstDataRow="1" firstDataCol="1"/>
  <pivotFields count="10">
    <pivotField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numFmtId="3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69E61-9DAC-40B1-A381-9074BA8CB562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17:O28" firstHeaderRow="1" firstDataRow="1" firstDataCol="1"/>
  <pivotFields count="10">
    <pivotField showAll="0"/>
    <pivotField numFmtId="14" showAll="0"/>
    <pivotField showAll="0"/>
    <pivotField axis="axisRow" showAll="0">
      <items count="11">
        <item x="1"/>
        <item x="3"/>
        <item x="7"/>
        <item x="4"/>
        <item x="8"/>
        <item x="9"/>
        <item x="2"/>
        <item x="5"/>
        <item x="6"/>
        <item x="0"/>
        <item t="default"/>
      </items>
    </pivotField>
    <pivotField showAll="0"/>
    <pivotField showAll="0"/>
    <pivotField numFmtId="3" showAll="0"/>
    <pivotField showAll="0"/>
    <pivotField dataField="1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OFIT MARGIN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251CC-2320-4205-9076-609594BDE964}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4:O10" firstHeaderRow="1" firstDataRow="1" firstDataCol="1"/>
  <pivotFields count="10">
    <pivotField showAll="0"/>
    <pivotField numFmtId="14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numFmtId="3"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7A6FA-D532-4173-8F61-54DAEFA8BC80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4:L15" firstHeaderRow="1" firstDataRow="1" firstDataCol="1"/>
  <pivotFields count="10">
    <pivotField showAll="0"/>
    <pivotField numFmtId="14" showAll="0"/>
    <pivotField showAll="0"/>
    <pivotField axis="axisRow" showAll="0">
      <items count="11">
        <item x="1"/>
        <item x="3"/>
        <item x="7"/>
        <item x="4"/>
        <item x="8"/>
        <item x="9"/>
        <item x="2"/>
        <item x="5"/>
        <item x="6"/>
        <item x="0"/>
        <item t="default"/>
      </items>
    </pivotField>
    <pivotField showAll="0"/>
    <pivotField showAll="0"/>
    <pivotField dataField="1" numFmtId="3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D879E-5BF6-4096-BC50-12525FC797DE}" name="PivotTable7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L2:M13" firstHeaderRow="1" firstDataRow="1" firstDataCol="1"/>
  <pivotFields count="10">
    <pivotField showAll="0"/>
    <pivotField numFmtId="14" showAll="0"/>
    <pivotField showAll="0"/>
    <pivotField axis="axisRow" showAll="0">
      <items count="11">
        <item x="1"/>
        <item x="3"/>
        <item x="7"/>
        <item x="4"/>
        <item x="8"/>
        <item x="9"/>
        <item x="2"/>
        <item x="5"/>
        <item x="6"/>
        <item x="0"/>
        <item t="default"/>
      </items>
    </pivotField>
    <pivotField showAll="0"/>
    <pivotField showAll="0"/>
    <pivotField dataField="1" numFmtId="3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" fld="6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AA2A8-07B9-492D-B9FC-08892AA6AF64}" name="PivotTable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16:C22" firstHeaderRow="1" firstDataRow="1" firstDataCol="1"/>
  <pivotFields count="10">
    <pivotField showAll="0"/>
    <pivotField numFmtId="14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numFmtId="3"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A9210-D63B-436A-A2CC-7729A2ADF0DC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2:C13" firstHeaderRow="1" firstDataRow="1" firstDataCol="1"/>
  <pivotFields count="10">
    <pivotField showAll="0"/>
    <pivotField numFmtId="14" showAll="0"/>
    <pivotField showAll="0"/>
    <pivotField axis="axisRow" showAll="0">
      <items count="11">
        <item x="1"/>
        <item x="3"/>
        <item x="7"/>
        <item x="4"/>
        <item x="8"/>
        <item x="9"/>
        <item x="2"/>
        <item x="5"/>
        <item x="6"/>
        <item x="0"/>
        <item t="default"/>
      </items>
    </pivotField>
    <pivotField showAll="0"/>
    <pivotField showAll="0"/>
    <pivotField dataField="1" numFmtId="3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21A0-38FD-41D3-85A9-A95D9C5FB7C5}">
  <dimension ref="A1:O28"/>
  <sheetViews>
    <sheetView topLeftCell="E8" workbookViewId="0">
      <selection activeCell="J20" sqref="J20"/>
    </sheetView>
  </sheetViews>
  <sheetFormatPr defaultRowHeight="14.5" x14ac:dyDescent="0.35"/>
  <cols>
    <col min="1" max="1" width="8.90625" bestFit="1" customWidth="1"/>
    <col min="2" max="2" width="15.81640625" customWidth="1"/>
    <col min="4" max="4" width="33" bestFit="1" customWidth="1"/>
    <col min="5" max="5" width="16.36328125" bestFit="1" customWidth="1"/>
    <col min="6" max="6" width="9.453125" bestFit="1" customWidth="1"/>
    <col min="7" max="7" width="10.7265625" customWidth="1"/>
    <col min="9" max="9" width="14.453125" bestFit="1" customWidth="1"/>
    <col min="10" max="10" width="15.1796875" bestFit="1" customWidth="1"/>
    <col min="11" max="11" width="16.36328125" bestFit="1" customWidth="1"/>
    <col min="12" max="12" width="15.81640625" bestFit="1" customWidth="1"/>
    <col min="14" max="14" width="33" bestFit="1" customWidth="1"/>
    <col min="15" max="15" width="24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6</v>
      </c>
      <c r="I1" s="6" t="s">
        <v>26</v>
      </c>
      <c r="J1" s="6" t="s">
        <v>27</v>
      </c>
    </row>
    <row r="2" spans="1:15" x14ac:dyDescent="0.35">
      <c r="A2" s="2">
        <v>101</v>
      </c>
      <c r="B2" s="3">
        <v>40544</v>
      </c>
      <c r="C2" s="2" t="s">
        <v>7</v>
      </c>
      <c r="D2" s="2" t="s">
        <v>8</v>
      </c>
      <c r="E2" s="2" t="s">
        <v>9</v>
      </c>
      <c r="F2" s="2">
        <v>2</v>
      </c>
      <c r="G2" s="4">
        <v>2500</v>
      </c>
      <c r="H2" s="2">
        <f>F2*G2</f>
        <v>5000</v>
      </c>
      <c r="I2" s="2">
        <f>H2/G2</f>
        <v>2</v>
      </c>
      <c r="J2" s="2" t="str">
        <f>IF(G2&gt;5000,"HIGH","MEDIUM")</f>
        <v>MEDIUM</v>
      </c>
    </row>
    <row r="3" spans="1:15" x14ac:dyDescent="0.35">
      <c r="A3" s="2">
        <v>102</v>
      </c>
      <c r="B3" s="3">
        <v>40545</v>
      </c>
      <c r="C3" s="2" t="s">
        <v>10</v>
      </c>
      <c r="D3" s="2" t="s">
        <v>11</v>
      </c>
      <c r="E3" s="2" t="s">
        <v>9</v>
      </c>
      <c r="F3" s="2">
        <v>1</v>
      </c>
      <c r="G3" s="4">
        <v>65000</v>
      </c>
      <c r="H3" s="2">
        <f t="shared" ref="H3:H11" si="0">F3*G3</f>
        <v>65000</v>
      </c>
      <c r="I3" s="2">
        <f t="shared" ref="I3:I11" si="1">H3/G3</f>
        <v>1</v>
      </c>
      <c r="J3" s="2" t="str">
        <f t="shared" ref="J3:J11" si="2">IF(G3&gt;5000,"HIGH","MEDIUM")</f>
        <v>HIGH</v>
      </c>
    </row>
    <row r="4" spans="1:15" x14ac:dyDescent="0.35">
      <c r="A4" s="2">
        <v>103</v>
      </c>
      <c r="B4" s="3">
        <v>40546</v>
      </c>
      <c r="C4" s="2" t="s">
        <v>12</v>
      </c>
      <c r="D4" s="2" t="s">
        <v>13</v>
      </c>
      <c r="E4" s="2" t="s">
        <v>14</v>
      </c>
      <c r="F4" s="2">
        <v>3</v>
      </c>
      <c r="G4" s="4">
        <v>5000</v>
      </c>
      <c r="H4" s="2">
        <f t="shared" si="0"/>
        <v>15000</v>
      </c>
      <c r="I4" s="2">
        <f t="shared" si="1"/>
        <v>3</v>
      </c>
      <c r="J4" s="2" t="str">
        <f t="shared" si="2"/>
        <v>MEDIUM</v>
      </c>
      <c r="K4" s="7" t="s">
        <v>29</v>
      </c>
      <c r="L4" t="s">
        <v>31</v>
      </c>
      <c r="N4" s="7" t="s">
        <v>29</v>
      </c>
      <c r="O4" t="s">
        <v>32</v>
      </c>
    </row>
    <row r="5" spans="1:15" x14ac:dyDescent="0.35">
      <c r="A5" s="2">
        <v>104</v>
      </c>
      <c r="B5" s="3">
        <v>40547</v>
      </c>
      <c r="C5" s="2" t="s">
        <v>15</v>
      </c>
      <c r="D5" s="2" t="s">
        <v>16</v>
      </c>
      <c r="E5" s="2" t="s">
        <v>14</v>
      </c>
      <c r="F5" s="2">
        <v>2</v>
      </c>
      <c r="G5" s="4">
        <v>7000</v>
      </c>
      <c r="H5" s="2">
        <f t="shared" si="0"/>
        <v>14000</v>
      </c>
      <c r="I5" s="2">
        <f t="shared" si="1"/>
        <v>2</v>
      </c>
      <c r="J5" s="2" t="str">
        <f t="shared" si="2"/>
        <v>HIGH</v>
      </c>
      <c r="K5" s="8" t="s">
        <v>11</v>
      </c>
      <c r="L5" s="9">
        <v>65000</v>
      </c>
      <c r="N5" s="8" t="s">
        <v>7</v>
      </c>
      <c r="O5" s="9">
        <v>11600</v>
      </c>
    </row>
    <row r="6" spans="1:15" x14ac:dyDescent="0.35">
      <c r="A6" s="2">
        <v>105</v>
      </c>
      <c r="B6" s="3">
        <v>40548</v>
      </c>
      <c r="C6" s="2" t="s">
        <v>17</v>
      </c>
      <c r="D6" s="2" t="s">
        <v>18</v>
      </c>
      <c r="E6" s="2" t="s">
        <v>19</v>
      </c>
      <c r="F6" s="2">
        <v>4</v>
      </c>
      <c r="G6" s="4">
        <v>10000</v>
      </c>
      <c r="H6" s="2">
        <f t="shared" si="0"/>
        <v>40000</v>
      </c>
      <c r="I6" s="2">
        <f t="shared" si="1"/>
        <v>4</v>
      </c>
      <c r="J6" s="2" t="str">
        <f t="shared" si="2"/>
        <v>HIGH</v>
      </c>
      <c r="K6" s="8" t="s">
        <v>16</v>
      </c>
      <c r="L6" s="9">
        <v>7000</v>
      </c>
      <c r="N6" s="8" t="s">
        <v>15</v>
      </c>
      <c r="O6" s="9">
        <v>17820</v>
      </c>
    </row>
    <row r="7" spans="1:15" x14ac:dyDescent="0.35">
      <c r="A7" s="2">
        <v>106</v>
      </c>
      <c r="B7" s="3">
        <v>40549</v>
      </c>
      <c r="C7" s="2" t="s">
        <v>15</v>
      </c>
      <c r="D7" s="2" t="s">
        <v>20</v>
      </c>
      <c r="E7" s="2" t="s">
        <v>21</v>
      </c>
      <c r="F7" s="2">
        <v>7</v>
      </c>
      <c r="G7" s="4">
        <v>500</v>
      </c>
      <c r="H7" s="2">
        <f t="shared" si="0"/>
        <v>3500</v>
      </c>
      <c r="I7" s="2">
        <f t="shared" si="1"/>
        <v>7</v>
      </c>
      <c r="J7" s="2" t="str">
        <f t="shared" si="2"/>
        <v>MEDIUM</v>
      </c>
      <c r="K7" s="8" t="s">
        <v>23</v>
      </c>
      <c r="L7" s="9">
        <v>1000</v>
      </c>
      <c r="N7" s="8" t="s">
        <v>12</v>
      </c>
      <c r="O7" s="9">
        <v>20000</v>
      </c>
    </row>
    <row r="8" spans="1:15" x14ac:dyDescent="0.35">
      <c r="A8" s="2">
        <v>107</v>
      </c>
      <c r="B8" s="3">
        <v>40550</v>
      </c>
      <c r="C8" s="2" t="s">
        <v>7</v>
      </c>
      <c r="D8" s="2" t="s">
        <v>22</v>
      </c>
      <c r="E8" s="2" t="s">
        <v>21</v>
      </c>
      <c r="F8" s="2">
        <v>9</v>
      </c>
      <c r="G8" s="4">
        <v>700</v>
      </c>
      <c r="H8" s="2">
        <f t="shared" si="0"/>
        <v>6300</v>
      </c>
      <c r="I8" s="2">
        <f t="shared" si="1"/>
        <v>9</v>
      </c>
      <c r="J8" s="2" t="str">
        <f t="shared" si="2"/>
        <v>MEDIUM</v>
      </c>
      <c r="K8" s="8" t="s">
        <v>18</v>
      </c>
      <c r="L8" s="9">
        <v>10000</v>
      </c>
      <c r="N8" s="8" t="s">
        <v>17</v>
      </c>
      <c r="O8" s="9">
        <v>40000</v>
      </c>
    </row>
    <row r="9" spans="1:15" x14ac:dyDescent="0.35">
      <c r="A9" s="2">
        <v>108</v>
      </c>
      <c r="B9" s="3">
        <v>40551</v>
      </c>
      <c r="C9" s="2" t="s">
        <v>12</v>
      </c>
      <c r="D9" s="5" t="s">
        <v>23</v>
      </c>
      <c r="E9" s="2" t="s">
        <v>14</v>
      </c>
      <c r="F9" s="2">
        <v>5</v>
      </c>
      <c r="G9" s="4">
        <v>1000</v>
      </c>
      <c r="H9" s="2">
        <f t="shared" si="0"/>
        <v>5000</v>
      </c>
      <c r="I9" s="2">
        <f t="shared" si="1"/>
        <v>5</v>
      </c>
      <c r="J9" s="2" t="str">
        <f t="shared" si="2"/>
        <v>MEDIUM</v>
      </c>
      <c r="K9" s="8" t="s">
        <v>24</v>
      </c>
      <c r="L9" s="9">
        <v>40</v>
      </c>
      <c r="N9" s="8" t="s">
        <v>10</v>
      </c>
      <c r="O9" s="9">
        <v>65000</v>
      </c>
    </row>
    <row r="10" spans="1:15" x14ac:dyDescent="0.35">
      <c r="A10" s="2">
        <v>109</v>
      </c>
      <c r="B10" s="3">
        <v>40552</v>
      </c>
      <c r="C10" s="2" t="s">
        <v>15</v>
      </c>
      <c r="D10" s="5" t="s">
        <v>24</v>
      </c>
      <c r="E10" s="2" t="s">
        <v>19</v>
      </c>
      <c r="F10" s="2">
        <v>8</v>
      </c>
      <c r="G10" s="4">
        <v>40</v>
      </c>
      <c r="H10" s="2">
        <f t="shared" si="0"/>
        <v>320</v>
      </c>
      <c r="I10" s="2">
        <f t="shared" si="1"/>
        <v>8</v>
      </c>
      <c r="J10" s="2" t="str">
        <f t="shared" si="2"/>
        <v>MEDIUM</v>
      </c>
      <c r="K10" s="8" t="s">
        <v>25</v>
      </c>
      <c r="L10" s="9">
        <v>50</v>
      </c>
      <c r="N10" s="8" t="s">
        <v>30</v>
      </c>
      <c r="O10" s="9">
        <v>154420</v>
      </c>
    </row>
    <row r="11" spans="1:15" x14ac:dyDescent="0.35">
      <c r="A11" s="2">
        <v>110</v>
      </c>
      <c r="B11" s="3">
        <v>40553</v>
      </c>
      <c r="C11" s="2" t="s">
        <v>7</v>
      </c>
      <c r="D11" s="5" t="s">
        <v>25</v>
      </c>
      <c r="E11" s="2" t="s">
        <v>19</v>
      </c>
      <c r="F11" s="2">
        <v>6</v>
      </c>
      <c r="G11" s="4">
        <v>50</v>
      </c>
      <c r="H11" s="2">
        <f t="shared" si="0"/>
        <v>300</v>
      </c>
      <c r="I11" s="2">
        <f t="shared" si="1"/>
        <v>6</v>
      </c>
      <c r="J11" s="2" t="str">
        <f t="shared" si="2"/>
        <v>MEDIUM</v>
      </c>
      <c r="K11" s="8" t="s">
        <v>13</v>
      </c>
      <c r="L11" s="9">
        <v>5000</v>
      </c>
    </row>
    <row r="12" spans="1:15" x14ac:dyDescent="0.35">
      <c r="K12" s="8" t="s">
        <v>20</v>
      </c>
      <c r="L12" s="9">
        <v>500</v>
      </c>
    </row>
    <row r="13" spans="1:15" x14ac:dyDescent="0.35">
      <c r="K13" s="8" t="s">
        <v>22</v>
      </c>
      <c r="L13" s="9">
        <v>700</v>
      </c>
    </row>
    <row r="14" spans="1:15" x14ac:dyDescent="0.35">
      <c r="K14" s="8" t="s">
        <v>8</v>
      </c>
      <c r="L14" s="9">
        <v>2500</v>
      </c>
    </row>
    <row r="15" spans="1:15" x14ac:dyDescent="0.35">
      <c r="K15" s="8" t="s">
        <v>30</v>
      </c>
      <c r="L15" s="9">
        <v>91790</v>
      </c>
    </row>
    <row r="17" spans="11:15" x14ac:dyDescent="0.35">
      <c r="N17" s="7" t="s">
        <v>29</v>
      </c>
      <c r="O17" t="s">
        <v>33</v>
      </c>
    </row>
    <row r="18" spans="11:15" x14ac:dyDescent="0.35">
      <c r="N18" s="8" t="s">
        <v>11</v>
      </c>
      <c r="O18" s="9">
        <v>1</v>
      </c>
    </row>
    <row r="19" spans="11:15" x14ac:dyDescent="0.35">
      <c r="K19" s="7" t="s">
        <v>29</v>
      </c>
      <c r="L19" t="s">
        <v>34</v>
      </c>
      <c r="N19" s="8" t="s">
        <v>16</v>
      </c>
      <c r="O19" s="9">
        <v>2</v>
      </c>
    </row>
    <row r="20" spans="11:15" x14ac:dyDescent="0.35">
      <c r="K20" s="8" t="s">
        <v>9</v>
      </c>
      <c r="L20" s="9">
        <v>3</v>
      </c>
      <c r="N20" s="8" t="s">
        <v>23</v>
      </c>
      <c r="O20" s="9">
        <v>5</v>
      </c>
    </row>
    <row r="21" spans="11:15" x14ac:dyDescent="0.35">
      <c r="K21" s="8" t="s">
        <v>14</v>
      </c>
      <c r="L21" s="9">
        <v>10</v>
      </c>
      <c r="N21" s="8" t="s">
        <v>18</v>
      </c>
      <c r="O21" s="9">
        <v>4</v>
      </c>
    </row>
    <row r="22" spans="11:15" x14ac:dyDescent="0.35">
      <c r="K22" s="8" t="s">
        <v>19</v>
      </c>
      <c r="L22" s="9">
        <v>18</v>
      </c>
      <c r="N22" s="8" t="s">
        <v>24</v>
      </c>
      <c r="O22" s="9">
        <v>8</v>
      </c>
    </row>
    <row r="23" spans="11:15" x14ac:dyDescent="0.35">
      <c r="K23" s="8" t="s">
        <v>21</v>
      </c>
      <c r="L23" s="9">
        <v>16</v>
      </c>
      <c r="N23" s="8" t="s">
        <v>25</v>
      </c>
      <c r="O23" s="9">
        <v>6</v>
      </c>
    </row>
    <row r="24" spans="11:15" x14ac:dyDescent="0.35">
      <c r="K24" s="8" t="s">
        <v>30</v>
      </c>
      <c r="L24" s="9">
        <v>47</v>
      </c>
      <c r="N24" s="8" t="s">
        <v>13</v>
      </c>
      <c r="O24" s="9">
        <v>3</v>
      </c>
    </row>
    <row r="25" spans="11:15" x14ac:dyDescent="0.35">
      <c r="N25" s="8" t="s">
        <v>20</v>
      </c>
      <c r="O25" s="9">
        <v>7</v>
      </c>
    </row>
    <row r="26" spans="11:15" x14ac:dyDescent="0.35">
      <c r="N26" s="8" t="s">
        <v>22</v>
      </c>
      <c r="O26" s="9">
        <v>9</v>
      </c>
    </row>
    <row r="27" spans="11:15" x14ac:dyDescent="0.35">
      <c r="N27" s="8" t="s">
        <v>8</v>
      </c>
      <c r="O27" s="9">
        <v>2</v>
      </c>
    </row>
    <row r="28" spans="11:15" x14ac:dyDescent="0.35">
      <c r="N28" s="8" t="s">
        <v>30</v>
      </c>
      <c r="O28" s="9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5E1E-37DF-4FD7-A5B8-6C09DE6534F5}">
  <dimension ref="B2:M22"/>
  <sheetViews>
    <sheetView tabSelected="1" topLeftCell="G1" workbookViewId="0">
      <selection activeCell="P17" sqref="P17"/>
    </sheetView>
  </sheetViews>
  <sheetFormatPr defaultRowHeight="14.5" x14ac:dyDescent="0.35"/>
  <cols>
    <col min="2" max="2" width="12.36328125" bestFit="1" customWidth="1"/>
    <col min="3" max="3" width="13.1796875" bestFit="1" customWidth="1"/>
    <col min="12" max="12" width="33" bestFit="1" customWidth="1"/>
    <col min="13" max="13" width="12.36328125" bestFit="1" customWidth="1"/>
  </cols>
  <sheetData>
    <row r="2" spans="2:13" x14ac:dyDescent="0.35">
      <c r="B2" s="7" t="s">
        <v>29</v>
      </c>
      <c r="C2" t="s">
        <v>31</v>
      </c>
      <c r="L2" s="7" t="s">
        <v>29</v>
      </c>
      <c r="M2" t="s">
        <v>31</v>
      </c>
    </row>
    <row r="3" spans="2:13" x14ac:dyDescent="0.35">
      <c r="B3" s="8" t="s">
        <v>11</v>
      </c>
      <c r="C3" s="9">
        <v>65000</v>
      </c>
      <c r="L3" s="8" t="s">
        <v>11</v>
      </c>
      <c r="M3" s="9">
        <v>1</v>
      </c>
    </row>
    <row r="4" spans="2:13" x14ac:dyDescent="0.35">
      <c r="B4" s="8" t="s">
        <v>16</v>
      </c>
      <c r="C4" s="9">
        <v>7000</v>
      </c>
      <c r="L4" s="8" t="s">
        <v>16</v>
      </c>
      <c r="M4" s="9">
        <v>3</v>
      </c>
    </row>
    <row r="5" spans="2:13" x14ac:dyDescent="0.35">
      <c r="B5" s="8" t="s">
        <v>23</v>
      </c>
      <c r="C5" s="9">
        <v>1000</v>
      </c>
      <c r="L5" s="8" t="s">
        <v>23</v>
      </c>
      <c r="M5" s="9">
        <v>6</v>
      </c>
    </row>
    <row r="6" spans="2:13" x14ac:dyDescent="0.35">
      <c r="B6" s="8" t="s">
        <v>18</v>
      </c>
      <c r="C6" s="9">
        <v>10000</v>
      </c>
      <c r="L6" s="8" t="s">
        <v>18</v>
      </c>
      <c r="M6" s="9">
        <v>2</v>
      </c>
    </row>
    <row r="7" spans="2:13" x14ac:dyDescent="0.35">
      <c r="B7" s="8" t="s">
        <v>24</v>
      </c>
      <c r="C7" s="9">
        <v>40</v>
      </c>
      <c r="L7" s="8" t="s">
        <v>24</v>
      </c>
      <c r="M7" s="9">
        <v>10</v>
      </c>
    </row>
    <row r="8" spans="2:13" x14ac:dyDescent="0.35">
      <c r="B8" s="8" t="s">
        <v>25</v>
      </c>
      <c r="C8" s="9">
        <v>50</v>
      </c>
      <c r="L8" s="8" t="s">
        <v>25</v>
      </c>
      <c r="M8" s="9">
        <v>9</v>
      </c>
    </row>
    <row r="9" spans="2:13" x14ac:dyDescent="0.35">
      <c r="B9" s="8" t="s">
        <v>13</v>
      </c>
      <c r="C9" s="9">
        <v>5000</v>
      </c>
      <c r="L9" s="8" t="s">
        <v>13</v>
      </c>
      <c r="M9" s="9">
        <v>4</v>
      </c>
    </row>
    <row r="10" spans="2:13" x14ac:dyDescent="0.35">
      <c r="B10" s="8" t="s">
        <v>20</v>
      </c>
      <c r="C10" s="9">
        <v>500</v>
      </c>
      <c r="L10" s="8" t="s">
        <v>20</v>
      </c>
      <c r="M10" s="9">
        <v>8</v>
      </c>
    </row>
    <row r="11" spans="2:13" x14ac:dyDescent="0.35">
      <c r="B11" s="8" t="s">
        <v>22</v>
      </c>
      <c r="C11" s="9">
        <v>700</v>
      </c>
      <c r="L11" s="8" t="s">
        <v>22</v>
      </c>
      <c r="M11" s="9">
        <v>7</v>
      </c>
    </row>
    <row r="12" spans="2:13" x14ac:dyDescent="0.35">
      <c r="B12" s="8" t="s">
        <v>8</v>
      </c>
      <c r="C12" s="9">
        <v>2500</v>
      </c>
      <c r="L12" s="8" t="s">
        <v>8</v>
      </c>
      <c r="M12" s="9">
        <v>5</v>
      </c>
    </row>
    <row r="13" spans="2:13" x14ac:dyDescent="0.35">
      <c r="B13" s="8" t="s">
        <v>30</v>
      </c>
      <c r="C13" s="9">
        <v>91790</v>
      </c>
      <c r="L13" s="8" t="s">
        <v>30</v>
      </c>
      <c r="M13" s="9"/>
    </row>
    <row r="16" spans="2:13" x14ac:dyDescent="0.35">
      <c r="B16" s="7" t="s">
        <v>29</v>
      </c>
      <c r="C16" t="s">
        <v>32</v>
      </c>
    </row>
    <row r="17" spans="2:3" x14ac:dyDescent="0.35">
      <c r="B17" s="8" t="s">
        <v>7</v>
      </c>
      <c r="C17" s="9">
        <v>11600</v>
      </c>
    </row>
    <row r="18" spans="2:3" x14ac:dyDescent="0.35">
      <c r="B18" s="8" t="s">
        <v>15</v>
      </c>
      <c r="C18" s="9">
        <v>17820</v>
      </c>
    </row>
    <row r="19" spans="2:3" x14ac:dyDescent="0.35">
      <c r="B19" s="8" t="s">
        <v>12</v>
      </c>
      <c r="C19" s="9">
        <v>20000</v>
      </c>
    </row>
    <row r="20" spans="2:3" x14ac:dyDescent="0.35">
      <c r="B20" s="8" t="s">
        <v>17</v>
      </c>
      <c r="C20" s="9">
        <v>40000</v>
      </c>
    </row>
    <row r="21" spans="2:3" x14ac:dyDescent="0.35">
      <c r="B21" s="8" t="s">
        <v>10</v>
      </c>
      <c r="C21" s="9">
        <v>65000</v>
      </c>
    </row>
    <row r="22" spans="2:3" x14ac:dyDescent="0.35">
      <c r="B22" s="8" t="s">
        <v>30</v>
      </c>
      <c r="C22" s="9">
        <v>154420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 TABLES</vt:lpstr>
      <vt:lpstr>PIVOT CHARTS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Nāmu</dc:creator>
  <cp:lastModifiedBy>Nagaraju Nāmu</cp:lastModifiedBy>
  <dcterms:created xsi:type="dcterms:W3CDTF">2026-06-07T14:57:15Z</dcterms:created>
  <dcterms:modified xsi:type="dcterms:W3CDTF">2026-06-07T15:12:12Z</dcterms:modified>
</cp:coreProperties>
</file>